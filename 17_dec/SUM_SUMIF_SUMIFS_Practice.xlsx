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Data" sheetId="1" r:id="rId4"/>
  </sheets>
  <definedNames/>
  <calcPr/>
  <extLst>
    <ext uri="GoogleSheetsCustomDataVersion2">
      <go:sheetsCustomData xmlns:go="http://customooxmlschemas.google.com/" r:id="rId5" roundtripDataChecksum="WrELjhC0OmaHp+8YIjiFJb546twaYl1qHwQGzrV5FaQ="/>
    </ext>
  </extLst>
</workbook>
</file>

<file path=xl/sharedStrings.xml><?xml version="1.0" encoding="utf-8"?>
<sst xmlns="http://schemas.openxmlformats.org/spreadsheetml/2006/main" count="223" uniqueCount="49">
  <si>
    <t>Product_Name</t>
  </si>
  <si>
    <t>Category</t>
  </si>
  <si>
    <t>Region</t>
  </si>
  <si>
    <t>Month</t>
  </si>
  <si>
    <t>Sales_Amount</t>
  </si>
  <si>
    <t>Tata Tea</t>
  </si>
  <si>
    <t>Beverage</t>
  </si>
  <si>
    <t>North</t>
  </si>
  <si>
    <t>Jan</t>
  </si>
  <si>
    <t>1. Find the total sales amount of all products.</t>
  </si>
  <si>
    <t>Reliance Smart Rice</t>
  </si>
  <si>
    <t>Grocery</t>
  </si>
  <si>
    <t>South</t>
  </si>
  <si>
    <t>Feb</t>
  </si>
  <si>
    <t>2. Calculate total sales for the first 10 records.</t>
  </si>
  <si>
    <t>Amul Milk</t>
  </si>
  <si>
    <t>Dairy</t>
  </si>
  <si>
    <t>East</t>
  </si>
  <si>
    <t>Mar</t>
  </si>
  <si>
    <t>3. Find the total sales for January (use SUM with filter).</t>
  </si>
  <si>
    <t>Parle-G Biscuits</t>
  </si>
  <si>
    <t>Snacks</t>
  </si>
  <si>
    <t>West</t>
  </si>
  <si>
    <t>Apr</t>
  </si>
  <si>
    <t>4. Find the total sales for West region.</t>
  </si>
  <si>
    <t>Haldiram Namkeen</t>
  </si>
  <si>
    <t>May</t>
  </si>
  <si>
    <t>5. Calculate overall sales of Snack category products.</t>
  </si>
  <si>
    <t>Patanjali Atta</t>
  </si>
  <si>
    <t>6. Find total sales of Amul Milk.</t>
  </si>
  <si>
    <t>ITC Aashirvaad</t>
  </si>
  <si>
    <t>7. Calculate total sales for North region.</t>
  </si>
  <si>
    <t>Britannia Bread</t>
  </si>
  <si>
    <t>Bakery</t>
  </si>
  <si>
    <t>8. Find total sales for Snacks category.</t>
  </si>
  <si>
    <t>Dabur Honey</t>
  </si>
  <si>
    <t>Health</t>
  </si>
  <si>
    <t>9. Calculate total sales for March month.</t>
  </si>
  <si>
    <t>Godrej Soap</t>
  </si>
  <si>
    <t>Personal Care</t>
  </si>
  <si>
    <t>10. Find total sales of products from Tata brand.</t>
  </si>
  <si>
    <t>11. Find total sales of Amul Milk in East region.</t>
  </si>
  <si>
    <t>12. Calculate total sales for January month in West region.</t>
  </si>
  <si>
    <t>13. Find total sales of Patanjali Atta in North region.</t>
  </si>
  <si>
    <t>16. Find total sales where Sales Amount &gt; 2000.</t>
  </si>
  <si>
    <t>17. Calculate total sales of Beverage category in March.</t>
  </si>
  <si>
    <t>18. Find total sales of Godrej Soap in South region.</t>
  </si>
  <si>
    <t>19. Calculate total sales of ITC Aashirvaad in East region.</t>
  </si>
  <si>
    <t>20. Find total sales of Dairy products in all regions except North.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</si>
</sst>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color rgb="FF000000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5.14"/>
    <col customWidth="1" min="6" max="6" width="55.57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>
      <c r="A2" s="1" t="s">
        <v>5</v>
      </c>
      <c r="B2" s="1" t="s">
        <v>6</v>
      </c>
      <c r="C2" s="1" t="s">
        <v>7</v>
      </c>
      <c r="D2" s="1" t="s">
        <v>8</v>
      </c>
      <c r="E2" s="1">
        <v>100.0</v>
      </c>
      <c r="F2" s="2" t="s">
        <v>9</v>
      </c>
      <c r="G2" s="1">
        <f>sum(E2:E51)</f>
        <v>127500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>
        <v>200.0</v>
      </c>
      <c r="F3" s="2" t="s">
        <v>14</v>
      </c>
      <c r="G3" s="1">
        <f>sum(E2:E11)</f>
        <v>5500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1">
        <v>300.0</v>
      </c>
      <c r="F4" s="2" t="s">
        <v>19</v>
      </c>
      <c r="G4" s="1">
        <f>sumif($D$2:$D$51,"jan",$E$2:$E$51)</f>
        <v>23500</v>
      </c>
    </row>
    <row r="5">
      <c r="A5" s="1" t="s">
        <v>20</v>
      </c>
      <c r="B5" s="1" t="s">
        <v>21</v>
      </c>
      <c r="C5" s="1" t="s">
        <v>22</v>
      </c>
      <c r="D5" s="1" t="s">
        <v>23</v>
      </c>
      <c r="E5" s="1">
        <v>400.0</v>
      </c>
      <c r="F5" s="2" t="s">
        <v>24</v>
      </c>
      <c r="G5" s="1">
        <f>sumif($C$2:$C$51,"west",$E$2:$E$51)</f>
        <v>31200</v>
      </c>
    </row>
    <row r="6">
      <c r="A6" s="1" t="s">
        <v>25</v>
      </c>
      <c r="B6" s="1" t="s">
        <v>21</v>
      </c>
      <c r="C6" s="1" t="s">
        <v>7</v>
      </c>
      <c r="D6" s="1" t="s">
        <v>26</v>
      </c>
      <c r="E6" s="1">
        <v>500.0</v>
      </c>
      <c r="F6" s="2" t="s">
        <v>27</v>
      </c>
      <c r="G6" s="1">
        <f>sumif($B$2:$B$51,"snacks",E2:E51)</f>
        <v>24500</v>
      </c>
    </row>
    <row r="7">
      <c r="A7" s="1" t="s">
        <v>28</v>
      </c>
      <c r="B7" s="1" t="s">
        <v>11</v>
      </c>
      <c r="C7" s="1" t="s">
        <v>12</v>
      </c>
      <c r="D7" s="1" t="s">
        <v>8</v>
      </c>
      <c r="E7" s="1">
        <v>600.0</v>
      </c>
      <c r="F7" s="2" t="s">
        <v>29</v>
      </c>
      <c r="G7" s="1">
        <f>sumif($A$2:$A$51,"amul milk",E2:E51)</f>
        <v>11500</v>
      </c>
    </row>
    <row r="8">
      <c r="A8" s="1" t="s">
        <v>30</v>
      </c>
      <c r="B8" s="1" t="s">
        <v>11</v>
      </c>
      <c r="C8" s="1" t="s">
        <v>17</v>
      </c>
      <c r="D8" s="1" t="s">
        <v>13</v>
      </c>
      <c r="E8" s="1">
        <v>700.0</v>
      </c>
      <c r="F8" s="2" t="s">
        <v>31</v>
      </c>
      <c r="G8" s="1">
        <f>sumif(C2:C51,"north",E2:E51)</f>
        <v>32500</v>
      </c>
    </row>
    <row r="9">
      <c r="A9" s="1" t="s">
        <v>32</v>
      </c>
      <c r="B9" s="1" t="s">
        <v>33</v>
      </c>
      <c r="C9" s="1" t="s">
        <v>22</v>
      </c>
      <c r="D9" s="1" t="s">
        <v>18</v>
      </c>
      <c r="E9" s="1">
        <v>800.0</v>
      </c>
      <c r="F9" s="2" t="s">
        <v>34</v>
      </c>
      <c r="G9" s="1">
        <f>sumif(B2:B51,"snacks",E2:E51)</f>
        <v>24500</v>
      </c>
    </row>
    <row r="10">
      <c r="A10" s="1" t="s">
        <v>35</v>
      </c>
      <c r="B10" s="1" t="s">
        <v>36</v>
      </c>
      <c r="C10" s="1" t="s">
        <v>7</v>
      </c>
      <c r="D10" s="1" t="s">
        <v>23</v>
      </c>
      <c r="E10" s="1">
        <v>900.0</v>
      </c>
      <c r="F10" s="2" t="s">
        <v>37</v>
      </c>
      <c r="G10" s="1">
        <f>sumif(B2:B51,"snacks",E2:E51)</f>
        <v>24500</v>
      </c>
    </row>
    <row r="11">
      <c r="A11" s="1" t="s">
        <v>38</v>
      </c>
      <c r="B11" s="1" t="s">
        <v>39</v>
      </c>
      <c r="C11" s="1" t="s">
        <v>12</v>
      </c>
      <c r="D11" s="1" t="s">
        <v>26</v>
      </c>
      <c r="E11" s="1">
        <v>1000.0</v>
      </c>
      <c r="F11" s="2" t="s">
        <v>40</v>
      </c>
      <c r="G11" s="1">
        <f>sumif($A$2:$A$51,"tata tea",E2:E51)</f>
        <v>10500</v>
      </c>
    </row>
    <row r="12">
      <c r="A12" s="1" t="s">
        <v>5</v>
      </c>
      <c r="B12" s="1" t="s">
        <v>6</v>
      </c>
      <c r="C12" s="1" t="s">
        <v>17</v>
      </c>
      <c r="D12" s="1" t="s">
        <v>8</v>
      </c>
      <c r="E12" s="1">
        <v>1100.0</v>
      </c>
      <c r="F12" s="2" t="s">
        <v>41</v>
      </c>
      <c r="G12" s="1">
        <f>sumif(E2:E51,"amul milk",C2:C51)</f>
        <v>0</v>
      </c>
    </row>
    <row r="13">
      <c r="A13" s="1" t="s">
        <v>10</v>
      </c>
      <c r="B13" s="1" t="s">
        <v>11</v>
      </c>
      <c r="C13" s="1" t="s">
        <v>22</v>
      </c>
      <c r="D13" s="1" t="s">
        <v>13</v>
      </c>
      <c r="E13" s="1">
        <v>1200.0</v>
      </c>
      <c r="F13" s="2" t="s">
        <v>42</v>
      </c>
      <c r="G13" s="1">
        <f>sumifs(E2:E51,D2:D51,"jan",C2:C51,"west") </f>
        <v>5200</v>
      </c>
    </row>
    <row r="14">
      <c r="A14" s="1" t="s">
        <v>15</v>
      </c>
      <c r="B14" s="1" t="s">
        <v>16</v>
      </c>
      <c r="C14" s="1" t="s">
        <v>7</v>
      </c>
      <c r="D14" s="1" t="s">
        <v>18</v>
      </c>
      <c r="E14" s="1">
        <v>1300.0</v>
      </c>
      <c r="F14" s="2" t="s">
        <v>43</v>
      </c>
      <c r="G14" s="1">
        <f>sumifs(E2:E51,A2:A51,"patanjali atta",C2:C51,"north”)")</f>
        <v>0</v>
      </c>
    </row>
    <row r="15">
      <c r="A15" s="1" t="s">
        <v>20</v>
      </c>
      <c r="B15" s="1" t="s">
        <v>21</v>
      </c>
      <c r="C15" s="1" t="s">
        <v>12</v>
      </c>
      <c r="D15" s="1" t="s">
        <v>23</v>
      </c>
      <c r="E15" s="1">
        <v>1400.0</v>
      </c>
      <c r="F15" s="2" t="s">
        <v>44</v>
      </c>
      <c r="G15" s="1">
        <f>sumif(E2:E51,"&gt;2000")</f>
        <v>106500</v>
      </c>
    </row>
    <row r="16">
      <c r="A16" s="1" t="s">
        <v>25</v>
      </c>
      <c r="B16" s="1" t="s">
        <v>21</v>
      </c>
      <c r="C16" s="1" t="s">
        <v>17</v>
      </c>
      <c r="D16" s="1" t="s">
        <v>26</v>
      </c>
      <c r="E16" s="1">
        <v>1500.0</v>
      </c>
      <c r="F16" s="2" t="s">
        <v>45</v>
      </c>
      <c r="G16" s="1">
        <f>sumifs($E$2:$E$51,B2:B51,"beverage",D2:D51,"mar")</f>
        <v>0</v>
      </c>
    </row>
    <row r="17">
      <c r="A17" s="1" t="s">
        <v>28</v>
      </c>
      <c r="B17" s="1" t="s">
        <v>11</v>
      </c>
      <c r="C17" s="1" t="s">
        <v>22</v>
      </c>
      <c r="D17" s="1" t="s">
        <v>8</v>
      </c>
      <c r="E17" s="1">
        <v>1600.0</v>
      </c>
      <c r="F17" s="2" t="s">
        <v>46</v>
      </c>
      <c r="G17" s="1">
        <f>sumifs(E2:E51,A2:A51,"godrej soap",C2:C51,"south")</f>
        <v>9000</v>
      </c>
    </row>
    <row r="18">
      <c r="A18" s="1" t="s">
        <v>30</v>
      </c>
      <c r="B18" s="1" t="s">
        <v>11</v>
      </c>
      <c r="C18" s="1" t="s">
        <v>7</v>
      </c>
      <c r="D18" s="1" t="s">
        <v>13</v>
      </c>
      <c r="E18" s="1">
        <v>1700.0</v>
      </c>
      <c r="F18" s="2" t="s">
        <v>47</v>
      </c>
      <c r="G18" s="1">
        <f>sumifs(E2:E51,A2:A51,"itc aashirvaad",C2:C51,"east")</f>
        <v>8100</v>
      </c>
    </row>
    <row r="19">
      <c r="A19" s="1" t="s">
        <v>32</v>
      </c>
      <c r="B19" s="1" t="s">
        <v>33</v>
      </c>
      <c r="C19" s="1" t="s">
        <v>12</v>
      </c>
      <c r="D19" s="1" t="s">
        <v>18</v>
      </c>
      <c r="E19" s="1">
        <v>1800.0</v>
      </c>
      <c r="F19" s="2" t="s">
        <v>48</v>
      </c>
      <c r="G19" s="1">
        <f>sumifs(E2:E51,A2:A51,"amul milk",C2:C51,"east",C2:C51,"west",C2:C51,"south")</f>
        <v>0</v>
      </c>
    </row>
    <row r="20">
      <c r="A20" s="1" t="s">
        <v>35</v>
      </c>
      <c r="B20" s="1" t="s">
        <v>36</v>
      </c>
      <c r="C20" s="1" t="s">
        <v>17</v>
      </c>
      <c r="D20" s="1" t="s">
        <v>23</v>
      </c>
      <c r="E20" s="1">
        <v>1900.0</v>
      </c>
    </row>
    <row r="21" ht="15.75" customHeight="1">
      <c r="A21" s="1" t="s">
        <v>38</v>
      </c>
      <c r="B21" s="1" t="s">
        <v>39</v>
      </c>
      <c r="C21" s="1" t="s">
        <v>22</v>
      </c>
      <c r="D21" s="1" t="s">
        <v>26</v>
      </c>
      <c r="E21" s="1">
        <v>2000.0</v>
      </c>
    </row>
    <row r="22" ht="15.75" customHeight="1">
      <c r="A22" s="1" t="s">
        <v>5</v>
      </c>
      <c r="B22" s="1" t="s">
        <v>6</v>
      </c>
      <c r="C22" s="1" t="s">
        <v>7</v>
      </c>
      <c r="D22" s="1" t="s">
        <v>8</v>
      </c>
      <c r="E22" s="1">
        <v>2100.0</v>
      </c>
    </row>
    <row r="23" ht="15.75" customHeight="1">
      <c r="A23" s="1" t="s">
        <v>10</v>
      </c>
      <c r="B23" s="1" t="s">
        <v>11</v>
      </c>
      <c r="C23" s="1" t="s">
        <v>12</v>
      </c>
      <c r="D23" s="1" t="s">
        <v>13</v>
      </c>
      <c r="E23" s="1">
        <v>2200.0</v>
      </c>
    </row>
    <row r="24" ht="15.75" customHeight="1">
      <c r="A24" s="1" t="s">
        <v>15</v>
      </c>
      <c r="B24" s="1" t="s">
        <v>16</v>
      </c>
      <c r="C24" s="1" t="s">
        <v>17</v>
      </c>
      <c r="D24" s="1" t="s">
        <v>18</v>
      </c>
      <c r="E24" s="1">
        <v>2300.0</v>
      </c>
    </row>
    <row r="25" ht="15.75" customHeight="1">
      <c r="A25" s="1" t="s">
        <v>20</v>
      </c>
      <c r="B25" s="1" t="s">
        <v>21</v>
      </c>
      <c r="C25" s="1" t="s">
        <v>22</v>
      </c>
      <c r="D25" s="1" t="s">
        <v>23</v>
      </c>
      <c r="E25" s="1">
        <v>2400.0</v>
      </c>
    </row>
    <row r="26" ht="15.75" customHeight="1">
      <c r="A26" s="1" t="s">
        <v>25</v>
      </c>
      <c r="B26" s="1" t="s">
        <v>21</v>
      </c>
      <c r="C26" s="1" t="s">
        <v>7</v>
      </c>
      <c r="D26" s="1" t="s">
        <v>26</v>
      </c>
      <c r="E26" s="1">
        <v>2500.0</v>
      </c>
    </row>
    <row r="27" ht="15.75" customHeight="1">
      <c r="A27" s="1" t="s">
        <v>28</v>
      </c>
      <c r="B27" s="1" t="s">
        <v>11</v>
      </c>
      <c r="C27" s="1" t="s">
        <v>12</v>
      </c>
      <c r="D27" s="1" t="s">
        <v>8</v>
      </c>
      <c r="E27" s="1">
        <v>2600.0</v>
      </c>
    </row>
    <row r="28" ht="15.75" customHeight="1">
      <c r="A28" s="1" t="s">
        <v>30</v>
      </c>
      <c r="B28" s="1" t="s">
        <v>11</v>
      </c>
      <c r="C28" s="1" t="s">
        <v>17</v>
      </c>
      <c r="D28" s="1" t="s">
        <v>13</v>
      </c>
      <c r="E28" s="1">
        <v>2700.0</v>
      </c>
    </row>
    <row r="29" ht="15.75" customHeight="1">
      <c r="A29" s="1" t="s">
        <v>32</v>
      </c>
      <c r="B29" s="1" t="s">
        <v>33</v>
      </c>
      <c r="C29" s="1" t="s">
        <v>22</v>
      </c>
      <c r="D29" s="1" t="s">
        <v>18</v>
      </c>
      <c r="E29" s="1">
        <v>2800.0</v>
      </c>
    </row>
    <row r="30" ht="15.75" customHeight="1">
      <c r="A30" s="1" t="s">
        <v>35</v>
      </c>
      <c r="B30" s="1" t="s">
        <v>36</v>
      </c>
      <c r="C30" s="1" t="s">
        <v>7</v>
      </c>
      <c r="D30" s="1" t="s">
        <v>23</v>
      </c>
      <c r="E30" s="1">
        <v>2900.0</v>
      </c>
    </row>
    <row r="31" ht="15.75" customHeight="1">
      <c r="A31" s="1" t="s">
        <v>38</v>
      </c>
      <c r="B31" s="1" t="s">
        <v>39</v>
      </c>
      <c r="C31" s="1" t="s">
        <v>12</v>
      </c>
      <c r="D31" s="1" t="s">
        <v>26</v>
      </c>
      <c r="E31" s="1">
        <v>3000.0</v>
      </c>
    </row>
    <row r="32" ht="15.75" customHeight="1">
      <c r="A32" s="1" t="s">
        <v>5</v>
      </c>
      <c r="B32" s="1" t="s">
        <v>6</v>
      </c>
      <c r="C32" s="1" t="s">
        <v>17</v>
      </c>
      <c r="D32" s="1" t="s">
        <v>8</v>
      </c>
      <c r="E32" s="1">
        <v>3100.0</v>
      </c>
    </row>
    <row r="33" ht="15.75" customHeight="1">
      <c r="A33" s="1" t="s">
        <v>10</v>
      </c>
      <c r="B33" s="1" t="s">
        <v>11</v>
      </c>
      <c r="C33" s="1" t="s">
        <v>22</v>
      </c>
      <c r="D33" s="1" t="s">
        <v>13</v>
      </c>
      <c r="E33" s="1">
        <v>3200.0</v>
      </c>
    </row>
    <row r="34" ht="15.75" customHeight="1">
      <c r="A34" s="1" t="s">
        <v>15</v>
      </c>
      <c r="B34" s="1" t="s">
        <v>16</v>
      </c>
      <c r="C34" s="1" t="s">
        <v>7</v>
      </c>
      <c r="D34" s="1" t="s">
        <v>18</v>
      </c>
      <c r="E34" s="1">
        <v>3300.0</v>
      </c>
    </row>
    <row r="35" ht="15.75" customHeight="1">
      <c r="A35" s="1" t="s">
        <v>20</v>
      </c>
      <c r="B35" s="1" t="s">
        <v>21</v>
      </c>
      <c r="C35" s="1" t="s">
        <v>12</v>
      </c>
      <c r="D35" s="1" t="s">
        <v>23</v>
      </c>
      <c r="E35" s="1">
        <v>3400.0</v>
      </c>
    </row>
    <row r="36" ht="15.75" customHeight="1">
      <c r="A36" s="1" t="s">
        <v>25</v>
      </c>
      <c r="B36" s="1" t="s">
        <v>21</v>
      </c>
      <c r="C36" s="1" t="s">
        <v>17</v>
      </c>
      <c r="D36" s="1" t="s">
        <v>26</v>
      </c>
      <c r="E36" s="1">
        <v>3500.0</v>
      </c>
    </row>
    <row r="37" ht="15.75" customHeight="1">
      <c r="A37" s="1" t="s">
        <v>28</v>
      </c>
      <c r="B37" s="1" t="s">
        <v>11</v>
      </c>
      <c r="C37" s="1" t="s">
        <v>22</v>
      </c>
      <c r="D37" s="1" t="s">
        <v>8</v>
      </c>
      <c r="E37" s="1">
        <v>3600.0</v>
      </c>
    </row>
    <row r="38" ht="15.75" customHeight="1">
      <c r="A38" s="1" t="s">
        <v>30</v>
      </c>
      <c r="B38" s="1" t="s">
        <v>11</v>
      </c>
      <c r="C38" s="1" t="s">
        <v>7</v>
      </c>
      <c r="D38" s="1" t="s">
        <v>13</v>
      </c>
      <c r="E38" s="1">
        <v>3700.0</v>
      </c>
    </row>
    <row r="39" ht="15.75" customHeight="1">
      <c r="A39" s="1" t="s">
        <v>32</v>
      </c>
      <c r="B39" s="1" t="s">
        <v>33</v>
      </c>
      <c r="C39" s="1" t="s">
        <v>12</v>
      </c>
      <c r="D39" s="1" t="s">
        <v>18</v>
      </c>
      <c r="E39" s="1">
        <v>3800.0</v>
      </c>
    </row>
    <row r="40" ht="15.75" customHeight="1">
      <c r="A40" s="1" t="s">
        <v>35</v>
      </c>
      <c r="B40" s="1" t="s">
        <v>36</v>
      </c>
      <c r="C40" s="1" t="s">
        <v>17</v>
      </c>
      <c r="D40" s="1" t="s">
        <v>23</v>
      </c>
      <c r="E40" s="1">
        <v>3900.0</v>
      </c>
    </row>
    <row r="41" ht="15.75" customHeight="1">
      <c r="A41" s="1" t="s">
        <v>38</v>
      </c>
      <c r="B41" s="1" t="s">
        <v>39</v>
      </c>
      <c r="C41" s="1" t="s">
        <v>22</v>
      </c>
      <c r="D41" s="1" t="s">
        <v>26</v>
      </c>
      <c r="E41" s="1">
        <v>4000.0</v>
      </c>
    </row>
    <row r="42" ht="15.75" customHeight="1">
      <c r="A42" s="1" t="s">
        <v>5</v>
      </c>
      <c r="B42" s="1" t="s">
        <v>6</v>
      </c>
      <c r="C42" s="1" t="s">
        <v>7</v>
      </c>
      <c r="D42" s="1" t="s">
        <v>8</v>
      </c>
      <c r="E42" s="1">
        <v>4100.0</v>
      </c>
    </row>
    <row r="43" ht="15.75" customHeight="1">
      <c r="A43" s="1" t="s">
        <v>10</v>
      </c>
      <c r="B43" s="1" t="s">
        <v>11</v>
      </c>
      <c r="C43" s="1" t="s">
        <v>12</v>
      </c>
      <c r="D43" s="1" t="s">
        <v>13</v>
      </c>
      <c r="E43" s="1">
        <v>4200.0</v>
      </c>
    </row>
    <row r="44" ht="15.75" customHeight="1">
      <c r="A44" s="1" t="s">
        <v>15</v>
      </c>
      <c r="B44" s="1" t="s">
        <v>16</v>
      </c>
      <c r="C44" s="1" t="s">
        <v>17</v>
      </c>
      <c r="D44" s="1" t="s">
        <v>18</v>
      </c>
      <c r="E44" s="1">
        <v>4300.0</v>
      </c>
    </row>
    <row r="45" ht="15.75" customHeight="1">
      <c r="A45" s="1" t="s">
        <v>20</v>
      </c>
      <c r="B45" s="1" t="s">
        <v>21</v>
      </c>
      <c r="C45" s="1" t="s">
        <v>22</v>
      </c>
      <c r="D45" s="1" t="s">
        <v>23</v>
      </c>
      <c r="E45" s="1">
        <v>4400.0</v>
      </c>
    </row>
    <row r="46" ht="15.75" customHeight="1">
      <c r="A46" s="1" t="s">
        <v>25</v>
      </c>
      <c r="B46" s="1" t="s">
        <v>21</v>
      </c>
      <c r="C46" s="1" t="s">
        <v>7</v>
      </c>
      <c r="D46" s="1" t="s">
        <v>26</v>
      </c>
      <c r="E46" s="1">
        <v>4500.0</v>
      </c>
    </row>
    <row r="47" ht="15.75" customHeight="1">
      <c r="A47" s="1" t="s">
        <v>28</v>
      </c>
      <c r="B47" s="1" t="s">
        <v>11</v>
      </c>
      <c r="C47" s="1" t="s">
        <v>12</v>
      </c>
      <c r="D47" s="1" t="s">
        <v>8</v>
      </c>
      <c r="E47" s="1">
        <v>4600.0</v>
      </c>
    </row>
    <row r="48" ht="15.75" customHeight="1">
      <c r="A48" s="1" t="s">
        <v>30</v>
      </c>
      <c r="B48" s="1" t="s">
        <v>11</v>
      </c>
      <c r="C48" s="1" t="s">
        <v>17</v>
      </c>
      <c r="D48" s="1" t="s">
        <v>13</v>
      </c>
      <c r="E48" s="1">
        <v>4700.0</v>
      </c>
    </row>
    <row r="49" ht="15.75" customHeight="1">
      <c r="A49" s="1" t="s">
        <v>32</v>
      </c>
      <c r="B49" s="1" t="s">
        <v>33</v>
      </c>
      <c r="C49" s="1" t="s">
        <v>22</v>
      </c>
      <c r="D49" s="1" t="s">
        <v>18</v>
      </c>
      <c r="E49" s="1">
        <v>4800.0</v>
      </c>
    </row>
    <row r="50" ht="15.75" customHeight="1">
      <c r="A50" s="1" t="s">
        <v>35</v>
      </c>
      <c r="B50" s="1" t="s">
        <v>36</v>
      </c>
      <c r="C50" s="1" t="s">
        <v>7</v>
      </c>
      <c r="D50" s="1" t="s">
        <v>23</v>
      </c>
      <c r="E50" s="1">
        <v>4900.0</v>
      </c>
    </row>
    <row r="51" ht="15.75" customHeight="1">
      <c r="A51" s="1" t="s">
        <v>38</v>
      </c>
      <c r="B51" s="1" t="s">
        <v>39</v>
      </c>
      <c r="C51" s="1" t="s">
        <v>12</v>
      </c>
      <c r="D51" s="1" t="s">
        <v>26</v>
      </c>
      <c r="E51" s="1">
        <v>5000.0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2025-12-16T10:30:53Z</dcterms:created>
  <dc:creator>openpyxl</dc:creator>
</cp:coreProperties>
</file>